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olenta_ws\polenta-official-GH34\apps\desktop\scripts\fixtures\"/>
    </mc:Choice>
  </mc:AlternateContent>
  <xr:revisionPtr revIDLastSave="0" documentId="8_{D6A92C82-C300-47BE-8142-AC826D0C854B}" xr6:coauthVersionLast="47" xr6:coauthVersionMax="47" xr10:uidLastSave="{00000000-0000-0000-0000-000000000000}"/>
  <bookViews>
    <workbookView xWindow="-108" yWindow="-108" windowWidth="23256" windowHeight="12456" xr2:uid="{AFEC4850-ECC0-490E-B479-FF7922F0B4E3}"/>
  </bookViews>
  <sheets>
    <sheet name="Exigences" sheetId="1" r:id="rId1"/>
    <sheet name="Synthèse" sheetId="2" r:id="rId2"/>
  </sheets>
  <definedNames>
    <definedName name="_xlnm.Print_Area" localSheetId="0">Exigences!$A$1:$E$9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1" i="2"/>
  <c r="D9" i="1"/>
  <c r="E8" i="1"/>
  <c r="D8" i="1"/>
  <c r="E6" i="1"/>
</calcChain>
</file>

<file path=xl/sharedStrings.xml><?xml version="1.0" encoding="utf-8"?>
<sst xmlns="http://schemas.openxmlformats.org/spreadsheetml/2006/main" count="18" uniqueCount="18">
  <si>
    <t>${project.label} — Cahier d'exigences</t>
  </si>
  <si>
    <t>Révision ${git.commit} ${git.tag}</t>
  </si>
  <si>
    <t>Édité le ${export.date} par ${export.user}</t>
  </si>
  <si>
    <t>ID</t>
  </si>
  <si>
    <t>Libellé</t>
  </si>
  <si>
    <t>Statut</t>
  </si>
  <si>
    <t>Priorité</t>
  </si>
  <si>
    <t>Poids x2</t>
  </si>
  <si>
    <t>${table:items.id}</t>
  </si>
  <si>
    <t>${table:items.name}</t>
  </si>
  <si>
    <t>${table:items.statusLabel}</t>
  </si>
  <si>
    <t>${table:items.priority}</t>
  </si>
  <si>
    <t>Total</t>
  </si>
  <si>
    <t>Approuvées</t>
  </si>
  <si>
    <t>Nombre d'exigences</t>
  </si>
  <si>
    <t>Priorité moyenne</t>
  </si>
  <si>
    <t>Composant</t>
  </si>
  <si>
    <t>${project.component}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</si>
</sst>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A64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Priorité</c:v>
          </c:tx>
          <c:invertIfNegative val="0"/>
          <c:cat>
            <c:strRef>
              <c:f>Exigences!$A$6:$A$6</c:f>
              <c:strCache>
                <c:ptCount val="1"/>
                <c:pt idx="0">
                  <c:v>${table:items.id}</c:v>
                </c:pt>
              </c:strCache>
            </c:strRef>
          </c:cat>
          <c:val>
            <c:numRef>
              <c:f>Exigences!$D$6:$D$6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44-4151-B5E9-D790C8FC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743007"/>
        <c:axId val="1194739167"/>
      </c:barChart>
      <c:catAx>
        <c:axId val="119474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4739167"/>
        <c:crosses val="autoZero"/>
        <c:auto val="1"/>
        <c:lblAlgn val="ctr"/>
        <c:lblOffset val="100"/>
        <c:noMultiLvlLbl val="0"/>
      </c:catAx>
      <c:valAx>
        <c:axId val="1194739167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19474300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579120</xdr:colOff>
      <xdr:row>0</xdr:row>
      <xdr:rowOff>25400</xdr:rowOff>
    </xdr:from>
    <xdr:to>
      <xdr:col>7</xdr:col>
      <xdr:colOff>548640</xdr:colOff>
      <xdr:row>1</xdr:row>
      <xdr:rowOff>139700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CB60CAA-2D0F-DEC5-2C77-7D2283A8F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25400"/>
          <a:ext cx="762000" cy="381000"/>
        </a:xfrm>
        <a:prstGeom prst="rect">
          <a:avLst/>
        </a:prstGeom>
      </xdr:spPr>
    </xdr:pic>
    <xdr:clientData/>
  </xdr:twoCellAnchor>
  <xdr:twoCellAnchor>
    <xdr:from>
      <xdr:col>0</xdr:col>
      <xdr:colOff>254000</xdr:colOff>
      <xdr:row>12</xdr:row>
      <xdr:rowOff>78740</xdr:rowOff>
    </xdr:from>
    <xdr:to>
      <xdr:col>3</xdr:col>
      <xdr:colOff>139700</xdr:colOff>
      <xdr:row>24</xdr:row>
      <xdr:rowOff>170180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5A1FA16-3C1E-0AAD-CCF2-A9C9961D8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4526-A56C-402B-B598-BAF22361E21C}">
  <dimension ref="A1:E9"/>
  <sheetViews>
    <sheetView tabSelected="1" workbookViewId="0">
      <selection sqref="A1:E1"/>
    </sheetView>
  </sheetViews>
  <sheetFormatPr baseColWidth="10" defaultRowHeight="14.4" x14ac:dyDescent="0.3"/>
  <cols>
    <col min="1" max="1" width="12.77734375" customWidth="1"/>
    <col min="2" max="2" width="40.77734375" customWidth="1"/>
    <col min="3" max="3" width="14.77734375" customWidth="1"/>
  </cols>
  <sheetData>
    <row r="1" spans="1:5" ht="21" x14ac:dyDescent="0.4">
      <c r="A1" s="2" t="s">
        <v>0</v>
      </c>
      <c r="B1" s="1"/>
      <c r="C1" s="1"/>
      <c r="D1" s="1"/>
      <c r="E1" s="1"/>
    </row>
    <row r="2" spans="1:5" x14ac:dyDescent="0.3">
      <c r="A2" s="3" t="s">
        <v>1</v>
      </c>
    </row>
    <row r="3" spans="1:5" x14ac:dyDescent="0.3">
      <c r="A3" s="3" t="s">
        <v>2</v>
      </c>
    </row>
    <row r="5" spans="1:5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ht="28.8" x14ac:dyDescent="0.3">
      <c r="A6" s="6" t="s">
        <v>8</v>
      </c>
      <c r="B6" s="6" t="s">
        <v>9</v>
      </c>
      <c r="C6" s="6" t="s">
        <v>10</v>
      </c>
      <c r="D6" s="7" t="s">
        <v>11</v>
      </c>
      <c r="E6" s="7" t="e">
        <f>D6*2</f>
        <v>#VALUE!</v>
      </c>
    </row>
    <row r="8" spans="1:5" x14ac:dyDescent="0.3">
      <c r="C8" s="4" t="s">
        <v>12</v>
      </c>
      <c r="D8" s="9">
        <f>SUM(D6:D6)</f>
        <v>0</v>
      </c>
      <c r="E8" s="8" t="e">
        <f>SUM(E6:E6)</f>
        <v>#VALUE!</v>
      </c>
    </row>
    <row r="9" spans="1:5" x14ac:dyDescent="0.3">
      <c r="C9" s="4" t="s">
        <v>13</v>
      </c>
      <c r="D9" s="4">
        <f>COUNTIF(C6:C6,"Approuvé")</f>
        <v>0</v>
      </c>
    </row>
  </sheetData>
  <mergeCells count="1">
    <mergeCell ref="A1:E1"/>
  </mergeCells>
  <conditionalFormatting sqref="C6">
    <cfRule type="cellIs" dxfId="0" priority="1" stopIfTrue="1" operator="equal">
      <formula>"Approuvé"</formula>
    </cfRule>
  </conditionalFormatting>
  <dataValidations count="1">
    <dataValidation type="whole" allowBlank="1" showInputMessage="1" showErrorMessage="1" sqref="D6" xr:uid="{F703E5D9-0FE9-4011-8A98-2B8A26882D68}">
      <formula1>0</formula1>
      <formula2>10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42DF-9F19-4FE7-AA8D-A962190B865A}">
  <dimension ref="A1:B3"/>
  <sheetViews>
    <sheetView workbookViewId="0"/>
  </sheetViews>
  <sheetFormatPr baseColWidth="10" defaultRowHeight="14.4" x14ac:dyDescent="0.3"/>
  <sheetData>
    <row r="1" spans="1:2" x14ac:dyDescent="0.3">
      <c r="A1" t="s">
        <v>14</v>
      </c>
      <c r="B1">
        <f>COUNTA(Exigences!A6:A6)</f>
        <v>1</v>
      </c>
    </row>
    <row r="2" spans="1:2" x14ac:dyDescent="0.3">
      <c r="A2" t="s">
        <v>15</v>
      </c>
      <c r="B2" t="e">
        <f>AVERAGE(Exigences!D6:D6)</f>
        <v>#DIV/0!</v>
      </c>
    </row>
    <row r="3" spans="1:2" x14ac:dyDescent="0.3">
      <c r="A3" t="s">
        <v>16</v>
      </c>
      <c r="B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Exigences</vt:lpstr>
      <vt:lpstr>Synthèse</vt:lpstr>
      <vt:lpstr>Exigences!Zone_d_impression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 Laurent</dc:creator>
  <cp:lastModifiedBy>OLIVE Laurent</cp:lastModifiedBy>
  <dcterms:created xsi:type="dcterms:W3CDTF">2026-10-01T20:06:55Z</dcterms:created>
  <dcterms:modified xsi:type="dcterms:W3CDTF">2026-10-01T20:06:56Z</dcterms:modified>
</cp:coreProperties>
</file>